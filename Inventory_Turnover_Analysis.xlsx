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nia\Downloads\"/>
    </mc:Choice>
  </mc:AlternateContent>
  <xr:revisionPtr revIDLastSave="0" documentId="13_ncr:1_{87E1EA74-9D47-4184-A527-01BDE34B706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a" sheetId="1" r:id="rId1"/>
    <sheet name="Slow Movers" sheetId="2" r:id="rId2"/>
    <sheet name="Category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C5" i="3"/>
  <c r="B5" i="3"/>
  <c r="D4" i="3"/>
  <c r="C4" i="3"/>
  <c r="B4" i="3"/>
  <c r="D3" i="3"/>
  <c r="C3" i="3"/>
  <c r="B3" i="3"/>
  <c r="D2" i="3"/>
  <c r="C2" i="3"/>
  <c r="B2" i="3"/>
  <c r="E19" i="2" a="1"/>
  <c r="E19" i="2" s="1"/>
  <c r="D19" i="2" a="1"/>
  <c r="D19" i="2" s="1"/>
  <c r="C19" i="2" a="1"/>
  <c r="C19" i="2" s="1"/>
  <c r="B19" i="2" a="1"/>
  <c r="B19" i="2" s="1"/>
  <c r="E18" i="2" a="1"/>
  <c r="E18" i="2" s="1"/>
  <c r="D18" i="2" a="1"/>
  <c r="D18" i="2" s="1"/>
  <c r="C18" i="2" a="1"/>
  <c r="C18" i="2" s="1"/>
  <c r="B18" i="2" a="1"/>
  <c r="B18" i="2" s="1"/>
  <c r="E17" i="2" a="1"/>
  <c r="E17" i="2" s="1"/>
  <c r="D17" i="2" a="1"/>
  <c r="D17" i="2" s="1"/>
  <c r="C17" i="2" a="1"/>
  <c r="C17" i="2" s="1"/>
  <c r="B17" i="2" a="1"/>
  <c r="B17" i="2" s="1"/>
  <c r="E16" i="2" a="1"/>
  <c r="E16" i="2" s="1"/>
  <c r="D16" i="2" a="1"/>
  <c r="D16" i="2" s="1"/>
  <c r="C16" i="2" a="1"/>
  <c r="C16" i="2" s="1"/>
  <c r="B16" i="2" a="1"/>
  <c r="B16" i="2" s="1"/>
  <c r="E15" i="2" a="1"/>
  <c r="E15" i="2" s="1"/>
  <c r="D15" i="2" a="1"/>
  <c r="D15" i="2" s="1"/>
  <c r="C15" i="2" a="1"/>
  <c r="C15" i="2" s="1"/>
  <c r="B15" i="2" a="1"/>
  <c r="B15" i="2" s="1"/>
  <c r="E14" i="2" a="1"/>
  <c r="E14" i="2" s="1"/>
  <c r="D14" i="2" a="1"/>
  <c r="D14" i="2" s="1"/>
  <c r="C14" i="2" a="1"/>
  <c r="C14" i="2" s="1"/>
  <c r="B14" i="2" a="1"/>
  <c r="B14" i="2" s="1"/>
  <c r="E13" i="2" a="1"/>
  <c r="E13" i="2"/>
  <c r="D13" i="2" a="1"/>
  <c r="D13" i="2"/>
  <c r="C13" i="2" a="1"/>
  <c r="C13" i="2"/>
  <c r="B13" i="2" a="1"/>
  <c r="B13" i="2"/>
  <c r="E12" i="2" a="1"/>
  <c r="E12" i="2"/>
  <c r="D12" i="2" a="1"/>
  <c r="D12" i="2"/>
  <c r="C12" i="2" a="1"/>
  <c r="C12" i="2"/>
  <c r="B12" i="2" a="1"/>
  <c r="B12" i="2"/>
  <c r="E11" i="2" a="1"/>
  <c r="E11" i="2"/>
  <c r="D11" i="2" a="1"/>
  <c r="D11" i="2"/>
  <c r="C11" i="2" a="1"/>
  <c r="C11" i="2"/>
  <c r="B11" i="2" a="1"/>
  <c r="B11" i="2"/>
  <c r="E10" i="2" a="1"/>
  <c r="E10" i="2"/>
  <c r="D10" i="2" a="1"/>
  <c r="D10" i="2"/>
  <c r="C10" i="2" a="1"/>
  <c r="C10" i="2"/>
  <c r="B10" i="2" a="1"/>
  <c r="B10" i="2"/>
  <c r="E9" i="2" a="1"/>
  <c r="E9" i="2"/>
  <c r="D9" i="2" a="1"/>
  <c r="D9" i="2"/>
  <c r="C9" i="2" a="1"/>
  <c r="C9" i="2"/>
  <c r="B9" i="2" a="1"/>
  <c r="B9" i="2"/>
  <c r="E8" i="2" a="1"/>
  <c r="E8" i="2"/>
  <c r="D8" i="2" a="1"/>
  <c r="D8" i="2"/>
  <c r="C8" i="2" a="1"/>
  <c r="C8" i="2"/>
  <c r="B8" i="2" a="1"/>
  <c r="B8" i="2"/>
  <c r="E7" i="2" a="1"/>
  <c r="E7" i="2"/>
  <c r="D7" i="2" a="1"/>
  <c r="D7" i="2"/>
  <c r="C7" i="2" a="1"/>
  <c r="C7" i="2"/>
  <c r="B7" i="2" a="1"/>
  <c r="B7" i="2"/>
  <c r="E6" i="2" a="1"/>
  <c r="E6" i="2"/>
  <c r="D6" i="2" a="1"/>
  <c r="D6" i="2"/>
  <c r="C6" i="2" a="1"/>
  <c r="C6" i="2"/>
  <c r="B6" i="2" a="1"/>
  <c r="B6" i="2"/>
  <c r="E5" i="2" a="1"/>
  <c r="E5" i="2"/>
  <c r="D5" i="2" a="1"/>
  <c r="D5" i="2"/>
  <c r="C5" i="2" a="1"/>
  <c r="C5" i="2"/>
  <c r="B5" i="2" a="1"/>
  <c r="B5" i="2"/>
  <c r="E4" i="2" a="1"/>
  <c r="E4" i="2"/>
  <c r="D4" i="2" a="1"/>
  <c r="D4" i="2"/>
  <c r="C4" i="2" a="1"/>
  <c r="C4" i="2"/>
  <c r="B4" i="2" a="1"/>
  <c r="B4" i="2"/>
  <c r="E3" i="2" a="1"/>
  <c r="E3" i="2"/>
  <c r="D3" i="2" a="1"/>
  <c r="D3" i="2"/>
  <c r="C3" i="2" a="1"/>
  <c r="C3" i="2"/>
  <c r="B3" i="2" a="1"/>
  <c r="B3" i="2"/>
  <c r="E2" i="2" a="1"/>
  <c r="E2" i="2"/>
  <c r="D2" i="2" a="1"/>
  <c r="D2" i="2"/>
  <c r="C2" i="2" a="1"/>
  <c r="C2" i="2"/>
  <c r="B2" i="2" a="1"/>
  <c r="B2" i="2"/>
  <c r="K33" i="1"/>
  <c r="L33" i="1" s="1"/>
  <c r="J33" i="1"/>
  <c r="K32" i="1"/>
  <c r="L32" i="1" s="1"/>
  <c r="M32" i="1" s="1"/>
  <c r="J32" i="1"/>
  <c r="K31" i="1"/>
  <c r="L31" i="1" s="1"/>
  <c r="M31" i="1" s="1"/>
  <c r="J31" i="1"/>
  <c r="K30" i="1"/>
  <c r="L30" i="1" s="1"/>
  <c r="J30" i="1"/>
  <c r="K29" i="1"/>
  <c r="L29" i="1" s="1"/>
  <c r="J29" i="1"/>
  <c r="K28" i="1"/>
  <c r="L28" i="1" s="1"/>
  <c r="J28" i="1"/>
  <c r="K27" i="1"/>
  <c r="L27" i="1" s="1"/>
  <c r="J27" i="1"/>
  <c r="K26" i="1"/>
  <c r="L26" i="1" s="1"/>
  <c r="J26" i="1"/>
  <c r="K25" i="1"/>
  <c r="L25" i="1" s="1"/>
  <c r="J25" i="1"/>
  <c r="K24" i="1"/>
  <c r="L24" i="1" s="1"/>
  <c r="J24" i="1"/>
  <c r="K23" i="1"/>
  <c r="L23" i="1" s="1"/>
  <c r="J23" i="1"/>
  <c r="L22" i="1"/>
  <c r="K22" i="1"/>
  <c r="J22" i="1"/>
  <c r="K21" i="1"/>
  <c r="L21" i="1" s="1"/>
  <c r="J21" i="1"/>
  <c r="K20" i="1"/>
  <c r="L20" i="1" s="1"/>
  <c r="J20" i="1"/>
  <c r="K19" i="1"/>
  <c r="L19" i="1" s="1"/>
  <c r="J19" i="1"/>
  <c r="K18" i="1"/>
  <c r="L18" i="1" s="1"/>
  <c r="J18" i="1"/>
  <c r="K17" i="1"/>
  <c r="L17" i="1" s="1"/>
  <c r="J17" i="1"/>
  <c r="K16" i="1"/>
  <c r="L16" i="1" s="1"/>
  <c r="J16" i="1"/>
  <c r="K15" i="1"/>
  <c r="L15" i="1" s="1"/>
  <c r="J15" i="1"/>
  <c r="K14" i="1"/>
  <c r="L14" i="1" s="1"/>
  <c r="J14" i="1"/>
  <c r="K13" i="1"/>
  <c r="L13" i="1" s="1"/>
  <c r="J13" i="1"/>
  <c r="K12" i="1"/>
  <c r="L12" i="1" s="1"/>
  <c r="J12" i="1"/>
  <c r="K11" i="1"/>
  <c r="L11" i="1" s="1"/>
  <c r="J11" i="1"/>
  <c r="K10" i="1"/>
  <c r="L10" i="1" s="1"/>
  <c r="J10" i="1"/>
  <c r="K9" i="1"/>
  <c r="L9" i="1" s="1"/>
  <c r="J9" i="1"/>
  <c r="K8" i="1"/>
  <c r="L8" i="1" s="1"/>
  <c r="J8" i="1"/>
  <c r="K7" i="1"/>
  <c r="L7" i="1" s="1"/>
  <c r="J7" i="1"/>
  <c r="K6" i="1"/>
  <c r="L6" i="1" s="1"/>
  <c r="J6" i="1"/>
  <c r="K5" i="1"/>
  <c r="L5" i="1" s="1"/>
  <c r="J5" i="1"/>
  <c r="K4" i="1"/>
  <c r="L4" i="1" s="1"/>
  <c r="J4" i="1"/>
  <c r="K3" i="1"/>
  <c r="L3" i="1" s="1"/>
  <c r="J3" i="1"/>
  <c r="K2" i="1"/>
  <c r="L2" i="1" s="1"/>
  <c r="J2" i="1"/>
  <c r="M26" i="1" l="1"/>
  <c r="F17" i="2" a="1"/>
  <c r="F17" i="2" s="1"/>
  <c r="M24" i="1"/>
  <c r="F19" i="2" a="1"/>
  <c r="F19" i="2" s="1"/>
  <c r="M19" i="1"/>
  <c r="F18" i="2" a="1"/>
  <c r="F18" i="2" s="1"/>
  <c r="M18" i="1"/>
  <c r="F13" i="2" a="1"/>
  <c r="F13" i="2" s="1"/>
  <c r="M15" i="1"/>
  <c r="F10" i="2" a="1"/>
  <c r="F10" i="2" s="1"/>
  <c r="M14" i="1"/>
  <c r="F12" i="2" a="1"/>
  <c r="F12" i="2" s="1"/>
  <c r="M13" i="1"/>
  <c r="F11" i="2" a="1"/>
  <c r="F11" i="2" s="1"/>
  <c r="M12" i="1"/>
  <c r="F15" i="2" a="1"/>
  <c r="F15" i="2" s="1"/>
  <c r="M11" i="1"/>
  <c r="F6" i="2" a="1"/>
  <c r="F6" i="2" s="1"/>
  <c r="M10" i="1"/>
  <c r="F9" i="2" a="1"/>
  <c r="F9" i="2" s="1"/>
  <c r="M9" i="1"/>
  <c r="F16" i="2" a="1"/>
  <c r="F16" i="2" s="1"/>
  <c r="M8" i="1"/>
  <c r="F3" i="2" a="1"/>
  <c r="F3" i="2" s="1"/>
  <c r="E2" i="3"/>
  <c r="M7" i="1"/>
  <c r="F4" i="2" a="1"/>
  <c r="F4" i="2" s="1"/>
  <c r="E4" i="3"/>
  <c r="M6" i="1"/>
  <c r="F7" i="2" a="1"/>
  <c r="F7" i="2" s="1"/>
  <c r="M5" i="1"/>
  <c r="F5" i="2" a="1"/>
  <c r="F5" i="2" s="1"/>
  <c r="M4" i="1"/>
  <c r="F5" i="3" s="1"/>
  <c r="F8" i="2" a="1"/>
  <c r="F8" i="2" s="1"/>
  <c r="E5" i="3"/>
  <c r="M3" i="1"/>
  <c r="F14" i="2" a="1"/>
  <c r="F14" i="2" s="1"/>
  <c r="M2" i="1"/>
  <c r="F2" i="2" a="1"/>
  <c r="F2" i="2" s="1"/>
  <c r="E3" i="3"/>
  <c r="M33" i="1"/>
  <c r="M30" i="1"/>
  <c r="M29" i="1"/>
  <c r="M28" i="1"/>
  <c r="M27" i="1"/>
  <c r="M25" i="1"/>
  <c r="M23" i="1"/>
  <c r="M22" i="1"/>
  <c r="M20" i="1"/>
  <c r="M16" i="1"/>
  <c r="M21" i="1"/>
  <c r="M17" i="1"/>
  <c r="F2" i="3" l="1"/>
  <c r="F4" i="3"/>
  <c r="F3" i="3"/>
</calcChain>
</file>

<file path=xl/sharedStrings.xml><?xml version="1.0" encoding="utf-8"?>
<sst xmlns="http://schemas.openxmlformats.org/spreadsheetml/2006/main" count="93" uniqueCount="56">
  <si>
    <t>Product_ID</t>
  </si>
  <si>
    <t>Product_Name</t>
  </si>
  <si>
    <t>Category</t>
  </si>
  <si>
    <t>Opening_Inventory</t>
  </si>
  <si>
    <t>Purchases</t>
  </si>
  <si>
    <t>Units_Sold</t>
  </si>
  <si>
    <t>Closing_Inventory</t>
  </si>
  <si>
    <t>Unit_Cost</t>
  </si>
  <si>
    <t>COGS</t>
  </si>
  <si>
    <t>Calculated_Average_Inventory</t>
  </si>
  <si>
    <t>Calculated_COGS</t>
  </si>
  <si>
    <t>Calculated_Turnover</t>
  </si>
  <si>
    <t>Movement_Status</t>
  </si>
  <si>
    <t>Webcam</t>
  </si>
  <si>
    <t>Electronics</t>
  </si>
  <si>
    <t>Power Bank</t>
  </si>
  <si>
    <t>Stapler</t>
  </si>
  <si>
    <t>Stationery</t>
  </si>
  <si>
    <t>Notebook</t>
  </si>
  <si>
    <t>Sticky Notes</t>
  </si>
  <si>
    <t>Study Table</t>
  </si>
  <si>
    <t>Furniture</t>
  </si>
  <si>
    <t>Jacket</t>
  </si>
  <si>
    <t>Clothing</t>
  </si>
  <si>
    <t>Bookshelf</t>
  </si>
  <si>
    <t>Office Sofa</t>
  </si>
  <si>
    <t>File Folder</t>
  </si>
  <si>
    <t>Marker Set</t>
  </si>
  <si>
    <t>Sweatshirt</t>
  </si>
  <si>
    <t>Conference Table</t>
  </si>
  <si>
    <t>Filing Cabinet</t>
  </si>
  <si>
    <t>USB Cable</t>
  </si>
  <si>
    <t>Office Chair</t>
  </si>
  <si>
    <t>Calculator</t>
  </si>
  <si>
    <t>Formal Shirt</t>
  </si>
  <si>
    <t>Jeans</t>
  </si>
  <si>
    <t>Wireless Mouse</t>
  </si>
  <si>
    <t>Keyboard</t>
  </si>
  <si>
    <t>Bluetooth Speaker</t>
  </si>
  <si>
    <t>Printer Paper</t>
  </si>
  <si>
    <t>Headphones</t>
  </si>
  <si>
    <t>Storage Rack</t>
  </si>
  <si>
    <t>Monitor</t>
  </si>
  <si>
    <t>T-Shirt</t>
  </si>
  <si>
    <t>Desk Lamp</t>
  </si>
  <si>
    <t>Cotton Dress</t>
  </si>
  <si>
    <t>Kurti</t>
  </si>
  <si>
    <t>Pen Set</t>
  </si>
  <si>
    <t>Track Pants</t>
  </si>
  <si>
    <t>Average_Inventory</t>
  </si>
  <si>
    <t>Inventory_Turnover</t>
  </si>
  <si>
    <t>Products</t>
  </si>
  <si>
    <t>Total_COGS</t>
  </si>
  <si>
    <t>Total_Average_Inventory</t>
  </si>
  <si>
    <t>Avg_Turnover</t>
  </si>
  <si>
    <t>Slow_Moving_Products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</si>
</sst>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name val="Calibri"/>
      <scheme val="minor"/>
    </font>
    <font>
      <sz val="11"/>
      <name val="Calibri"/>
      <family val="2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0" fontId="2" fillId="2" borderId="1" xfId="0" applyFont="1" applyFill="1" applyBorder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Comparison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Comparison'!$A$2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Comparison'!$B$1:$F$1</c:f>
              <c:strCache>
                <c:ptCount val="5"/>
                <c:pt idx="0">
                  <c:v>Products</c:v>
                </c:pt>
                <c:pt idx="1">
                  <c:v>Total_COGS</c:v>
                </c:pt>
                <c:pt idx="2">
                  <c:v>Total_Average_Inventory</c:v>
                </c:pt>
                <c:pt idx="3">
                  <c:v>Avg_Turnover</c:v>
                </c:pt>
                <c:pt idx="4">
                  <c:v>Slow_Moving_Products</c:v>
                </c:pt>
              </c:strCache>
            </c:strRef>
          </c:cat>
          <c:val>
            <c:numRef>
              <c:f>'Category Comparison'!$B$2:$F$2</c:f>
              <c:numCache>
                <c:formatCode>#,##0</c:formatCode>
                <c:ptCount val="5"/>
                <c:pt idx="0" formatCode="General">
                  <c:v>8</c:v>
                </c:pt>
                <c:pt idx="1">
                  <c:v>3551505</c:v>
                </c:pt>
                <c:pt idx="2" formatCode="#,##0.0">
                  <c:v>1304.5</c:v>
                </c:pt>
                <c:pt idx="3" formatCode="0.00">
                  <c:v>1.7953910664727353</c:v>
                </c:pt>
                <c:pt idx="4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0-4BED-A7B3-CA15034C306C}"/>
            </c:ext>
          </c:extLst>
        </c:ser>
        <c:ser>
          <c:idx val="1"/>
          <c:order val="1"/>
          <c:tx>
            <c:strRef>
              <c:f>'Category Comparison'!$A$3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Comparison'!$B$1:$F$1</c:f>
              <c:strCache>
                <c:ptCount val="5"/>
                <c:pt idx="0">
                  <c:v>Products</c:v>
                </c:pt>
                <c:pt idx="1">
                  <c:v>Total_COGS</c:v>
                </c:pt>
                <c:pt idx="2">
                  <c:v>Total_Average_Inventory</c:v>
                </c:pt>
                <c:pt idx="3">
                  <c:v>Avg_Turnover</c:v>
                </c:pt>
                <c:pt idx="4">
                  <c:v>Slow_Moving_Products</c:v>
                </c:pt>
              </c:strCache>
            </c:strRef>
          </c:cat>
          <c:val>
            <c:numRef>
              <c:f>'Category Comparison'!$B$3:$F$3</c:f>
              <c:numCache>
                <c:formatCode>#,##0</c:formatCode>
                <c:ptCount val="5"/>
                <c:pt idx="0" formatCode="General">
                  <c:v>8</c:v>
                </c:pt>
                <c:pt idx="1">
                  <c:v>2009964</c:v>
                </c:pt>
                <c:pt idx="2" formatCode="#,##0.0">
                  <c:v>1393.5</c:v>
                </c:pt>
                <c:pt idx="3" formatCode="0.00">
                  <c:v>1.6041634458845475</c:v>
                </c:pt>
                <c:pt idx="4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0-4BED-A7B3-CA15034C306C}"/>
            </c:ext>
          </c:extLst>
        </c:ser>
        <c:ser>
          <c:idx val="2"/>
          <c:order val="2"/>
          <c:tx>
            <c:strRef>
              <c:f>'Category Comparison'!$A$4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Comparison'!$B$1:$F$1</c:f>
              <c:strCache>
                <c:ptCount val="5"/>
                <c:pt idx="0">
                  <c:v>Products</c:v>
                </c:pt>
                <c:pt idx="1">
                  <c:v>Total_COGS</c:v>
                </c:pt>
                <c:pt idx="2">
                  <c:v>Total_Average_Inventory</c:v>
                </c:pt>
                <c:pt idx="3">
                  <c:v>Avg_Turnover</c:v>
                </c:pt>
                <c:pt idx="4">
                  <c:v>Slow_Moving_Products</c:v>
                </c:pt>
              </c:strCache>
            </c:strRef>
          </c:cat>
          <c:val>
            <c:numRef>
              <c:f>'Category Comparison'!$B$4:$F$4</c:f>
              <c:numCache>
                <c:formatCode>#,##0</c:formatCode>
                <c:ptCount val="5"/>
                <c:pt idx="0" formatCode="General">
                  <c:v>8</c:v>
                </c:pt>
                <c:pt idx="1">
                  <c:v>2174055</c:v>
                </c:pt>
                <c:pt idx="2" formatCode="#,##0.0">
                  <c:v>1555</c:v>
                </c:pt>
                <c:pt idx="3" formatCode="0.00">
                  <c:v>0.72159801651162658</c:v>
                </c:pt>
                <c:pt idx="4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0-4BED-A7B3-CA15034C306C}"/>
            </c:ext>
          </c:extLst>
        </c:ser>
        <c:ser>
          <c:idx val="3"/>
          <c:order val="3"/>
          <c:tx>
            <c:strRef>
              <c:f>'Category Comparison'!$A$5</c:f>
              <c:strCache>
                <c:ptCount val="1"/>
                <c:pt idx="0">
                  <c:v>Stationery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Comparison'!$B$1:$F$1</c:f>
              <c:strCache>
                <c:ptCount val="5"/>
                <c:pt idx="0">
                  <c:v>Products</c:v>
                </c:pt>
                <c:pt idx="1">
                  <c:v>Total_COGS</c:v>
                </c:pt>
                <c:pt idx="2">
                  <c:v>Total_Average_Inventory</c:v>
                </c:pt>
                <c:pt idx="3">
                  <c:v>Avg_Turnover</c:v>
                </c:pt>
                <c:pt idx="4">
                  <c:v>Slow_Moving_Products</c:v>
                </c:pt>
              </c:strCache>
            </c:strRef>
          </c:cat>
          <c:val>
            <c:numRef>
              <c:f>'Category Comparison'!$B$5:$F$5</c:f>
              <c:numCache>
                <c:formatCode>#,##0</c:formatCode>
                <c:ptCount val="5"/>
                <c:pt idx="0" formatCode="General">
                  <c:v>8</c:v>
                </c:pt>
                <c:pt idx="1">
                  <c:v>2602260</c:v>
                </c:pt>
                <c:pt idx="2" formatCode="#,##0.0">
                  <c:v>1819</c:v>
                </c:pt>
                <c:pt idx="3" formatCode="0.00">
                  <c:v>0.54712096433921309</c:v>
                </c:pt>
                <c:pt idx="4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0-4BED-A7B3-CA15034C3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575823"/>
        <c:axId val="208920607"/>
      </c:barChart>
      <c:catAx>
        <c:axId val="38857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20607"/>
        <c:crosses val="autoZero"/>
        <c:auto val="1"/>
        <c:lblAlgn val="ctr"/>
        <c:lblOffset val="100"/>
        <c:noMultiLvlLbl val="0"/>
      </c:catAx>
      <c:valAx>
        <c:axId val="2089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7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6</xdr:row>
      <xdr:rowOff>106680</xdr:rowOff>
    </xdr:from>
    <xdr:to>
      <xdr:col>10</xdr:col>
      <xdr:colOff>274320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4FE10-4199-DA28-69C6-EAC4D87E5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1" customWidth="1"/>
    <col min="2" max="2" width="18" customWidth="1"/>
    <col min="3" max="3" width="13" customWidth="1"/>
    <col min="4" max="4" width="17" customWidth="1"/>
    <col min="5" max="5" width="10" customWidth="1"/>
    <col min="6" max="6" width="11" customWidth="1"/>
    <col min="7" max="7" width="17" customWidth="1"/>
    <col min="8" max="8" width="10" customWidth="1"/>
    <col min="9" max="9" width="11" customWidth="1"/>
    <col min="10" max="10" width="28" customWidth="1"/>
    <col min="11" max="11" width="16" customWidth="1"/>
    <col min="12" max="12" width="18" customWidth="1"/>
    <col min="13" max="13" width="20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>
        <v>1005</v>
      </c>
      <c r="B2" t="s">
        <v>13</v>
      </c>
      <c r="C2" t="s">
        <v>14</v>
      </c>
      <c r="D2">
        <v>298</v>
      </c>
      <c r="E2">
        <v>338</v>
      </c>
      <c r="F2">
        <v>11</v>
      </c>
      <c r="G2">
        <v>625</v>
      </c>
      <c r="H2">
        <v>4797</v>
      </c>
      <c r="I2" s="2">
        <v>52767</v>
      </c>
      <c r="J2" s="3">
        <f t="shared" ref="J2:J33" si="0">(D2+G2)/2</f>
        <v>461.5</v>
      </c>
      <c r="K2" s="2">
        <f t="shared" ref="K2:K33" si="1">F2*H2</f>
        <v>52767</v>
      </c>
      <c r="L2" s="4">
        <f t="shared" ref="L2:L33" si="2">K2/(J2*H2)</f>
        <v>2.3835319609967497E-2</v>
      </c>
      <c r="M2" t="str">
        <f t="shared" ref="M2:M33" si="3">IF(L2&lt;=AVERAGE($L$2:$L$33),"Slow-Moving","Normal/Fast-Moving")</f>
        <v>Slow-Moving</v>
      </c>
    </row>
    <row r="3" spans="1:13" ht="14.4" x14ac:dyDescent="0.3">
      <c r="A3">
        <v>1007</v>
      </c>
      <c r="B3" t="s">
        <v>15</v>
      </c>
      <c r="C3" t="s">
        <v>14</v>
      </c>
      <c r="D3">
        <v>269</v>
      </c>
      <c r="E3">
        <v>331</v>
      </c>
      <c r="F3">
        <v>202</v>
      </c>
      <c r="G3">
        <v>398</v>
      </c>
      <c r="H3">
        <v>253</v>
      </c>
      <c r="I3" s="2">
        <v>51106</v>
      </c>
      <c r="J3" s="3">
        <f t="shared" si="0"/>
        <v>333.5</v>
      </c>
      <c r="K3" s="2">
        <f t="shared" si="1"/>
        <v>51106</v>
      </c>
      <c r="L3" s="4">
        <f t="shared" si="2"/>
        <v>0.60569715142428782</v>
      </c>
      <c r="M3" t="str">
        <f t="shared" si="3"/>
        <v>Slow-Moving</v>
      </c>
    </row>
    <row r="4" spans="1:13" ht="14.4" x14ac:dyDescent="0.3">
      <c r="A4">
        <v>1028</v>
      </c>
      <c r="B4" t="s">
        <v>16</v>
      </c>
      <c r="C4" t="s">
        <v>17</v>
      </c>
      <c r="D4">
        <v>300</v>
      </c>
      <c r="E4">
        <v>282</v>
      </c>
      <c r="F4">
        <v>106</v>
      </c>
      <c r="G4">
        <v>476</v>
      </c>
      <c r="H4">
        <v>585</v>
      </c>
      <c r="I4" s="2">
        <v>62010</v>
      </c>
      <c r="J4" s="3">
        <f t="shared" si="0"/>
        <v>388</v>
      </c>
      <c r="K4" s="2">
        <f t="shared" si="1"/>
        <v>62010</v>
      </c>
      <c r="L4" s="4">
        <f t="shared" si="2"/>
        <v>0.27319587628865977</v>
      </c>
      <c r="M4" t="str">
        <f t="shared" si="3"/>
        <v>Slow-Moving</v>
      </c>
    </row>
    <row r="5" spans="1:13" ht="14.4" x14ac:dyDescent="0.3">
      <c r="A5">
        <v>1025</v>
      </c>
      <c r="B5" t="s">
        <v>18</v>
      </c>
      <c r="C5" t="s">
        <v>17</v>
      </c>
      <c r="D5">
        <v>113</v>
      </c>
      <c r="E5">
        <v>165</v>
      </c>
      <c r="F5">
        <v>18</v>
      </c>
      <c r="G5">
        <v>260</v>
      </c>
      <c r="H5">
        <v>2220</v>
      </c>
      <c r="I5" s="2">
        <v>39960</v>
      </c>
      <c r="J5" s="3">
        <f t="shared" si="0"/>
        <v>186.5</v>
      </c>
      <c r="K5" s="2">
        <f t="shared" si="1"/>
        <v>39960</v>
      </c>
      <c r="L5" s="4">
        <f t="shared" si="2"/>
        <v>9.6514745308310987E-2</v>
      </c>
      <c r="M5" t="str">
        <f t="shared" si="3"/>
        <v>Slow-Moving</v>
      </c>
    </row>
    <row r="6" spans="1:13" ht="14.4" x14ac:dyDescent="0.3">
      <c r="A6">
        <v>1031</v>
      </c>
      <c r="B6" t="s">
        <v>19</v>
      </c>
      <c r="C6" t="s">
        <v>17</v>
      </c>
      <c r="D6">
        <v>168</v>
      </c>
      <c r="E6">
        <v>313</v>
      </c>
      <c r="F6">
        <v>65</v>
      </c>
      <c r="G6">
        <v>416</v>
      </c>
      <c r="H6">
        <v>1138</v>
      </c>
      <c r="I6" s="2">
        <v>73970</v>
      </c>
      <c r="J6" s="3">
        <f t="shared" si="0"/>
        <v>292</v>
      </c>
      <c r="K6" s="2">
        <f t="shared" si="1"/>
        <v>73970</v>
      </c>
      <c r="L6" s="4">
        <f t="shared" si="2"/>
        <v>0.2226027397260274</v>
      </c>
      <c r="M6" t="str">
        <f t="shared" si="3"/>
        <v>Slow-Moving</v>
      </c>
    </row>
    <row r="7" spans="1:13" ht="14.4" x14ac:dyDescent="0.3">
      <c r="A7">
        <v>1010</v>
      </c>
      <c r="B7" t="s">
        <v>20</v>
      </c>
      <c r="C7" t="s">
        <v>21</v>
      </c>
      <c r="D7">
        <v>87</v>
      </c>
      <c r="E7">
        <v>224</v>
      </c>
      <c r="F7">
        <v>16</v>
      </c>
      <c r="G7">
        <v>295</v>
      </c>
      <c r="H7">
        <v>3140</v>
      </c>
      <c r="I7" s="2">
        <v>50240</v>
      </c>
      <c r="J7" s="3">
        <f t="shared" si="0"/>
        <v>191</v>
      </c>
      <c r="K7" s="2">
        <f t="shared" si="1"/>
        <v>50240</v>
      </c>
      <c r="L7" s="4">
        <f t="shared" si="2"/>
        <v>8.3769633507853408E-2</v>
      </c>
      <c r="M7" t="str">
        <f t="shared" si="3"/>
        <v>Slow-Moving</v>
      </c>
    </row>
    <row r="8" spans="1:13" ht="14.4" x14ac:dyDescent="0.3">
      <c r="A8">
        <v>1020</v>
      </c>
      <c r="B8" t="s">
        <v>22</v>
      </c>
      <c r="C8" t="s">
        <v>23</v>
      </c>
      <c r="D8">
        <v>276</v>
      </c>
      <c r="E8">
        <v>224</v>
      </c>
      <c r="F8">
        <v>27</v>
      </c>
      <c r="G8">
        <v>473</v>
      </c>
      <c r="H8">
        <v>4762</v>
      </c>
      <c r="I8" s="2">
        <v>128574</v>
      </c>
      <c r="J8" s="3">
        <f t="shared" si="0"/>
        <v>374.5</v>
      </c>
      <c r="K8" s="2">
        <f t="shared" si="1"/>
        <v>128574</v>
      </c>
      <c r="L8" s="4">
        <f t="shared" si="2"/>
        <v>7.209612817089453E-2</v>
      </c>
      <c r="M8" t="str">
        <f t="shared" si="3"/>
        <v>Slow-Moving</v>
      </c>
    </row>
    <row r="9" spans="1:13" ht="14.4" x14ac:dyDescent="0.3">
      <c r="A9">
        <v>1011</v>
      </c>
      <c r="B9" t="s">
        <v>24</v>
      </c>
      <c r="C9" t="s">
        <v>21</v>
      </c>
      <c r="D9">
        <v>216</v>
      </c>
      <c r="E9">
        <v>339</v>
      </c>
      <c r="F9">
        <v>195</v>
      </c>
      <c r="G9">
        <v>360</v>
      </c>
      <c r="H9">
        <v>555</v>
      </c>
      <c r="I9" s="2">
        <v>108225</v>
      </c>
      <c r="J9" s="3">
        <f t="shared" si="0"/>
        <v>288</v>
      </c>
      <c r="K9" s="2">
        <f t="shared" si="1"/>
        <v>108225</v>
      </c>
      <c r="L9" s="4">
        <f t="shared" si="2"/>
        <v>0.67708333333333337</v>
      </c>
      <c r="M9" t="str">
        <f t="shared" si="3"/>
        <v>Slow-Moving</v>
      </c>
    </row>
    <row r="10" spans="1:13" ht="14.4" x14ac:dyDescent="0.3">
      <c r="A10">
        <v>1015</v>
      </c>
      <c r="B10" t="s">
        <v>25</v>
      </c>
      <c r="C10" t="s">
        <v>21</v>
      </c>
      <c r="D10">
        <v>188</v>
      </c>
      <c r="E10">
        <v>70</v>
      </c>
      <c r="F10">
        <v>64</v>
      </c>
      <c r="G10">
        <v>194</v>
      </c>
      <c r="H10">
        <v>2107</v>
      </c>
      <c r="I10" s="2">
        <v>134848</v>
      </c>
      <c r="J10" s="3">
        <f t="shared" si="0"/>
        <v>191</v>
      </c>
      <c r="K10" s="2">
        <f t="shared" si="1"/>
        <v>134848</v>
      </c>
      <c r="L10" s="4">
        <f t="shared" si="2"/>
        <v>0.33507853403141363</v>
      </c>
      <c r="M10" t="str">
        <f t="shared" si="3"/>
        <v>Slow-Moving</v>
      </c>
    </row>
    <row r="11" spans="1:13" ht="14.4" x14ac:dyDescent="0.3">
      <c r="A11">
        <v>1030</v>
      </c>
      <c r="B11" t="s">
        <v>26</v>
      </c>
      <c r="C11" t="s">
        <v>17</v>
      </c>
      <c r="D11">
        <v>72</v>
      </c>
      <c r="E11">
        <v>227</v>
      </c>
      <c r="F11">
        <v>34</v>
      </c>
      <c r="G11">
        <v>265</v>
      </c>
      <c r="H11">
        <v>4034</v>
      </c>
      <c r="I11" s="2">
        <v>137156</v>
      </c>
      <c r="J11" s="3">
        <f t="shared" si="0"/>
        <v>168.5</v>
      </c>
      <c r="K11" s="2">
        <f t="shared" si="1"/>
        <v>137156</v>
      </c>
      <c r="L11" s="4">
        <f t="shared" si="2"/>
        <v>0.20178041543026706</v>
      </c>
      <c r="M11" t="str">
        <f t="shared" si="3"/>
        <v>Slow-Moving</v>
      </c>
    </row>
    <row r="12" spans="1:13" ht="14.4" x14ac:dyDescent="0.3">
      <c r="A12">
        <v>1027</v>
      </c>
      <c r="B12" t="s">
        <v>27</v>
      </c>
      <c r="C12" t="s">
        <v>17</v>
      </c>
      <c r="D12">
        <v>244</v>
      </c>
      <c r="E12">
        <v>215</v>
      </c>
      <c r="F12">
        <v>172</v>
      </c>
      <c r="G12">
        <v>287</v>
      </c>
      <c r="H12">
        <v>1333</v>
      </c>
      <c r="I12" s="2">
        <v>229276</v>
      </c>
      <c r="J12" s="3">
        <f t="shared" si="0"/>
        <v>265.5</v>
      </c>
      <c r="K12" s="2">
        <f t="shared" si="1"/>
        <v>229276</v>
      </c>
      <c r="L12" s="4">
        <f t="shared" si="2"/>
        <v>0.64783427495291901</v>
      </c>
      <c r="M12" t="str">
        <f t="shared" si="3"/>
        <v>Slow-Moving</v>
      </c>
    </row>
    <row r="13" spans="1:13" ht="14.4" x14ac:dyDescent="0.3">
      <c r="A13">
        <v>1021</v>
      </c>
      <c r="B13" t="s">
        <v>28</v>
      </c>
      <c r="C13" t="s">
        <v>23</v>
      </c>
      <c r="D13">
        <v>152</v>
      </c>
      <c r="E13">
        <v>196</v>
      </c>
      <c r="F13">
        <v>88</v>
      </c>
      <c r="G13">
        <v>260</v>
      </c>
      <c r="H13">
        <v>2076</v>
      </c>
      <c r="I13" s="2">
        <v>182688</v>
      </c>
      <c r="J13" s="3">
        <f t="shared" si="0"/>
        <v>206</v>
      </c>
      <c r="K13" s="2">
        <f t="shared" si="1"/>
        <v>182688</v>
      </c>
      <c r="L13" s="4">
        <f t="shared" si="2"/>
        <v>0.42718446601941745</v>
      </c>
      <c r="M13" t="str">
        <f t="shared" si="3"/>
        <v>Slow-Moving</v>
      </c>
    </row>
    <row r="14" spans="1:13" ht="14.4" x14ac:dyDescent="0.3">
      <c r="A14">
        <v>1014</v>
      </c>
      <c r="B14" t="s">
        <v>29</v>
      </c>
      <c r="C14" t="s">
        <v>21</v>
      </c>
      <c r="D14">
        <v>138</v>
      </c>
      <c r="E14">
        <v>65</v>
      </c>
      <c r="F14">
        <v>71</v>
      </c>
      <c r="G14">
        <v>132</v>
      </c>
      <c r="H14">
        <v>2066</v>
      </c>
      <c r="I14" s="2">
        <v>146686</v>
      </c>
      <c r="J14" s="3">
        <f t="shared" si="0"/>
        <v>135</v>
      </c>
      <c r="K14" s="2">
        <f t="shared" si="1"/>
        <v>146686</v>
      </c>
      <c r="L14" s="4">
        <f t="shared" si="2"/>
        <v>0.52592592592592591</v>
      </c>
      <c r="M14" t="str">
        <f t="shared" si="3"/>
        <v>Slow-Moving</v>
      </c>
    </row>
    <row r="15" spans="1:13" ht="14.4" x14ac:dyDescent="0.3">
      <c r="A15">
        <v>1012</v>
      </c>
      <c r="B15" t="s">
        <v>30</v>
      </c>
      <c r="C15" t="s">
        <v>21</v>
      </c>
      <c r="D15">
        <v>275</v>
      </c>
      <c r="E15">
        <v>304</v>
      </c>
      <c r="F15">
        <v>123</v>
      </c>
      <c r="G15">
        <v>456</v>
      </c>
      <c r="H15">
        <v>3300</v>
      </c>
      <c r="I15" s="2">
        <v>405900</v>
      </c>
      <c r="J15" s="3">
        <f t="shared" si="0"/>
        <v>365.5</v>
      </c>
      <c r="K15" s="2">
        <f t="shared" si="1"/>
        <v>405900</v>
      </c>
      <c r="L15" s="4">
        <f t="shared" si="2"/>
        <v>0.33652530779753764</v>
      </c>
      <c r="M15" t="str">
        <f t="shared" si="3"/>
        <v>Slow-Moving</v>
      </c>
    </row>
    <row r="16" spans="1:13" ht="14.4" x14ac:dyDescent="0.3">
      <c r="A16">
        <v>1003</v>
      </c>
      <c r="B16" t="s">
        <v>31</v>
      </c>
      <c r="C16" t="s">
        <v>14</v>
      </c>
      <c r="D16">
        <v>84</v>
      </c>
      <c r="E16">
        <v>332</v>
      </c>
      <c r="F16">
        <v>276</v>
      </c>
      <c r="G16">
        <v>140</v>
      </c>
      <c r="H16">
        <v>460</v>
      </c>
      <c r="I16" s="2">
        <v>126960</v>
      </c>
      <c r="J16" s="3">
        <f t="shared" si="0"/>
        <v>112</v>
      </c>
      <c r="K16" s="2">
        <f t="shared" si="1"/>
        <v>126960</v>
      </c>
      <c r="L16" s="4">
        <f t="shared" si="2"/>
        <v>2.4642857142857144</v>
      </c>
      <c r="M16" t="str">
        <f t="shared" si="3"/>
        <v>Normal/Fast-Moving</v>
      </c>
    </row>
    <row r="17" spans="1:13" ht="14.4" x14ac:dyDescent="0.3">
      <c r="A17">
        <v>1009</v>
      </c>
      <c r="B17" t="s">
        <v>32</v>
      </c>
      <c r="C17" t="s">
        <v>21</v>
      </c>
      <c r="D17">
        <v>119</v>
      </c>
      <c r="E17">
        <v>140</v>
      </c>
      <c r="F17">
        <v>146</v>
      </c>
      <c r="G17">
        <v>113</v>
      </c>
      <c r="H17">
        <v>1037</v>
      </c>
      <c r="I17" s="2">
        <v>151402</v>
      </c>
      <c r="J17" s="3">
        <f t="shared" si="0"/>
        <v>116</v>
      </c>
      <c r="K17" s="2">
        <f t="shared" si="1"/>
        <v>151402</v>
      </c>
      <c r="L17" s="4">
        <f t="shared" si="2"/>
        <v>1.2586206896551724</v>
      </c>
      <c r="M17" t="str">
        <f t="shared" si="3"/>
        <v>Normal/Fast-Moving</v>
      </c>
    </row>
    <row r="18" spans="1:13" ht="14.4" x14ac:dyDescent="0.3">
      <c r="A18">
        <v>1032</v>
      </c>
      <c r="B18" t="s">
        <v>33</v>
      </c>
      <c r="C18" t="s">
        <v>17</v>
      </c>
      <c r="D18">
        <v>176</v>
      </c>
      <c r="E18">
        <v>204</v>
      </c>
      <c r="F18">
        <v>117</v>
      </c>
      <c r="G18">
        <v>263</v>
      </c>
      <c r="H18">
        <v>2604</v>
      </c>
      <c r="I18" s="2">
        <v>304668</v>
      </c>
      <c r="J18" s="3">
        <f t="shared" si="0"/>
        <v>219.5</v>
      </c>
      <c r="K18" s="2">
        <f t="shared" si="1"/>
        <v>304668</v>
      </c>
      <c r="L18" s="4">
        <f t="shared" si="2"/>
        <v>0.53302961275626426</v>
      </c>
      <c r="M18" t="str">
        <f t="shared" si="3"/>
        <v>Slow-Moving</v>
      </c>
    </row>
    <row r="19" spans="1:13" ht="14.4" x14ac:dyDescent="0.3">
      <c r="A19">
        <v>1019</v>
      </c>
      <c r="B19" t="s">
        <v>34</v>
      </c>
      <c r="C19" t="s">
        <v>23</v>
      </c>
      <c r="D19">
        <v>127</v>
      </c>
      <c r="E19">
        <v>303</v>
      </c>
      <c r="F19">
        <v>185</v>
      </c>
      <c r="G19">
        <v>245</v>
      </c>
      <c r="H19">
        <v>1538</v>
      </c>
      <c r="I19" s="2">
        <v>284530</v>
      </c>
      <c r="J19" s="3">
        <f t="shared" si="0"/>
        <v>186</v>
      </c>
      <c r="K19" s="2">
        <f t="shared" si="1"/>
        <v>284530</v>
      </c>
      <c r="L19" s="4">
        <f t="shared" si="2"/>
        <v>0.9946236559139785</v>
      </c>
      <c r="M19" t="str">
        <f t="shared" si="3"/>
        <v>Slow-Moving</v>
      </c>
    </row>
    <row r="20" spans="1:13" ht="14.4" x14ac:dyDescent="0.3">
      <c r="A20">
        <v>1018</v>
      </c>
      <c r="B20" t="s">
        <v>35</v>
      </c>
      <c r="C20" t="s">
        <v>23</v>
      </c>
      <c r="D20">
        <v>147</v>
      </c>
      <c r="E20">
        <v>166</v>
      </c>
      <c r="F20">
        <v>239</v>
      </c>
      <c r="G20">
        <v>74</v>
      </c>
      <c r="H20">
        <v>784</v>
      </c>
      <c r="I20" s="2">
        <v>187376</v>
      </c>
      <c r="J20" s="3">
        <f t="shared" si="0"/>
        <v>110.5</v>
      </c>
      <c r="K20" s="2">
        <f t="shared" si="1"/>
        <v>187376</v>
      </c>
      <c r="L20" s="4">
        <f t="shared" si="2"/>
        <v>2.1628959276018098</v>
      </c>
      <c r="M20" t="str">
        <f t="shared" si="3"/>
        <v>Normal/Fast-Moving</v>
      </c>
    </row>
    <row r="21" spans="1:13" ht="15.75" customHeight="1" x14ac:dyDescent="0.3">
      <c r="A21">
        <v>1001</v>
      </c>
      <c r="B21" t="s">
        <v>36</v>
      </c>
      <c r="C21" t="s">
        <v>14</v>
      </c>
      <c r="D21">
        <v>97</v>
      </c>
      <c r="E21">
        <v>42</v>
      </c>
      <c r="F21">
        <v>95</v>
      </c>
      <c r="G21">
        <v>44</v>
      </c>
      <c r="H21">
        <v>2206</v>
      </c>
      <c r="I21" s="2">
        <v>209570</v>
      </c>
      <c r="J21" s="3">
        <f t="shared" si="0"/>
        <v>70.5</v>
      </c>
      <c r="K21" s="2">
        <f t="shared" si="1"/>
        <v>209570</v>
      </c>
      <c r="L21" s="4">
        <f t="shared" si="2"/>
        <v>1.3475177304964538</v>
      </c>
      <c r="M21" t="str">
        <f t="shared" si="3"/>
        <v>Normal/Fast-Moving</v>
      </c>
    </row>
    <row r="22" spans="1:13" ht="15.75" customHeight="1" x14ac:dyDescent="0.3">
      <c r="A22">
        <v>1002</v>
      </c>
      <c r="B22" t="s">
        <v>37</v>
      </c>
      <c r="C22" t="s">
        <v>14</v>
      </c>
      <c r="D22">
        <v>154</v>
      </c>
      <c r="E22">
        <v>101</v>
      </c>
      <c r="F22">
        <v>248</v>
      </c>
      <c r="G22">
        <v>7</v>
      </c>
      <c r="H22">
        <v>1039</v>
      </c>
      <c r="I22" s="2">
        <v>257672</v>
      </c>
      <c r="J22" s="3">
        <f t="shared" si="0"/>
        <v>80.5</v>
      </c>
      <c r="K22" s="2">
        <f t="shared" si="1"/>
        <v>257672</v>
      </c>
      <c r="L22" s="4">
        <f t="shared" si="2"/>
        <v>3.0807453416149069</v>
      </c>
      <c r="M22" t="str">
        <f t="shared" si="3"/>
        <v>Normal/Fast-Moving</v>
      </c>
    </row>
    <row r="23" spans="1:13" ht="15.75" customHeight="1" x14ac:dyDescent="0.3">
      <c r="A23">
        <v>1006</v>
      </c>
      <c r="B23" t="s">
        <v>38</v>
      </c>
      <c r="C23" t="s">
        <v>14</v>
      </c>
      <c r="D23">
        <v>141</v>
      </c>
      <c r="E23">
        <v>309</v>
      </c>
      <c r="F23">
        <v>274</v>
      </c>
      <c r="G23">
        <v>176</v>
      </c>
      <c r="H23">
        <v>2005</v>
      </c>
      <c r="I23" s="2">
        <v>549370</v>
      </c>
      <c r="J23" s="3">
        <f t="shared" si="0"/>
        <v>158.5</v>
      </c>
      <c r="K23" s="2">
        <f t="shared" si="1"/>
        <v>549370</v>
      </c>
      <c r="L23" s="4">
        <f t="shared" si="2"/>
        <v>1.7287066246056781</v>
      </c>
      <c r="M23" t="str">
        <f t="shared" si="3"/>
        <v>Normal/Fast-Moving</v>
      </c>
    </row>
    <row r="24" spans="1:13" ht="15.75" customHeight="1" x14ac:dyDescent="0.3">
      <c r="A24">
        <v>1029</v>
      </c>
      <c r="B24" t="s">
        <v>39</v>
      </c>
      <c r="C24" t="s">
        <v>17</v>
      </c>
      <c r="D24">
        <v>96</v>
      </c>
      <c r="E24">
        <v>108</v>
      </c>
      <c r="F24">
        <v>100</v>
      </c>
      <c r="G24">
        <v>104</v>
      </c>
      <c r="H24">
        <v>3658</v>
      </c>
      <c r="I24" s="2">
        <v>365800</v>
      </c>
      <c r="J24" s="3">
        <f t="shared" si="0"/>
        <v>100</v>
      </c>
      <c r="K24" s="2">
        <f t="shared" si="1"/>
        <v>365800</v>
      </c>
      <c r="L24" s="4">
        <f t="shared" si="2"/>
        <v>1</v>
      </c>
      <c r="M24" t="str">
        <f t="shared" si="3"/>
        <v>Slow-Moving</v>
      </c>
    </row>
    <row r="25" spans="1:13" ht="15.75" customHeight="1" x14ac:dyDescent="0.3">
      <c r="A25">
        <v>1004</v>
      </c>
      <c r="B25" t="s">
        <v>40</v>
      </c>
      <c r="C25" t="s">
        <v>14</v>
      </c>
      <c r="D25">
        <v>55</v>
      </c>
      <c r="E25">
        <v>77</v>
      </c>
      <c r="F25">
        <v>87</v>
      </c>
      <c r="G25">
        <v>45</v>
      </c>
      <c r="H25">
        <v>2105</v>
      </c>
      <c r="I25" s="2">
        <v>183135</v>
      </c>
      <c r="J25" s="3">
        <f t="shared" si="0"/>
        <v>50</v>
      </c>
      <c r="K25" s="2">
        <f t="shared" si="1"/>
        <v>183135</v>
      </c>
      <c r="L25" s="4">
        <f t="shared" si="2"/>
        <v>1.74</v>
      </c>
      <c r="M25" t="str">
        <f t="shared" si="3"/>
        <v>Normal/Fast-Moving</v>
      </c>
    </row>
    <row r="26" spans="1:13" ht="15.75" customHeight="1" x14ac:dyDescent="0.3">
      <c r="A26">
        <v>1016</v>
      </c>
      <c r="B26" t="s">
        <v>41</v>
      </c>
      <c r="C26" t="s">
        <v>21</v>
      </c>
      <c r="D26">
        <v>91</v>
      </c>
      <c r="E26">
        <v>224</v>
      </c>
      <c r="F26">
        <v>131</v>
      </c>
      <c r="G26">
        <v>184</v>
      </c>
      <c r="H26">
        <v>3914</v>
      </c>
      <c r="I26" s="2">
        <v>512734</v>
      </c>
      <c r="J26" s="3">
        <f t="shared" si="0"/>
        <v>137.5</v>
      </c>
      <c r="K26" s="2">
        <f t="shared" si="1"/>
        <v>512734</v>
      </c>
      <c r="L26" s="4">
        <f t="shared" si="2"/>
        <v>0.95272727272727276</v>
      </c>
      <c r="M26" t="str">
        <f t="shared" si="3"/>
        <v>Slow-Moving</v>
      </c>
    </row>
    <row r="27" spans="1:13" ht="15.75" customHeight="1" x14ac:dyDescent="0.3">
      <c r="A27">
        <v>1008</v>
      </c>
      <c r="B27" t="s">
        <v>42</v>
      </c>
      <c r="C27" t="s">
        <v>14</v>
      </c>
      <c r="D27">
        <v>121</v>
      </c>
      <c r="E27">
        <v>246</v>
      </c>
      <c r="F27">
        <v>234</v>
      </c>
      <c r="G27">
        <v>133</v>
      </c>
      <c r="H27">
        <v>2476</v>
      </c>
      <c r="I27" s="2">
        <v>579384</v>
      </c>
      <c r="J27" s="3">
        <f t="shared" si="0"/>
        <v>127</v>
      </c>
      <c r="K27" s="2">
        <f t="shared" si="1"/>
        <v>579384</v>
      </c>
      <c r="L27" s="4">
        <f t="shared" si="2"/>
        <v>1.8425196850393701</v>
      </c>
      <c r="M27" t="str">
        <f t="shared" si="3"/>
        <v>Normal/Fast-Moving</v>
      </c>
    </row>
    <row r="28" spans="1:13" ht="15.75" customHeight="1" x14ac:dyDescent="0.3">
      <c r="A28">
        <v>1017</v>
      </c>
      <c r="B28" t="s">
        <v>43</v>
      </c>
      <c r="C28" t="s">
        <v>23</v>
      </c>
      <c r="D28">
        <v>226</v>
      </c>
      <c r="E28">
        <v>113</v>
      </c>
      <c r="F28">
        <v>249</v>
      </c>
      <c r="G28">
        <v>90</v>
      </c>
      <c r="H28">
        <v>3110</v>
      </c>
      <c r="I28" s="2">
        <v>774390</v>
      </c>
      <c r="J28" s="3">
        <f t="shared" si="0"/>
        <v>158</v>
      </c>
      <c r="K28" s="2">
        <f t="shared" si="1"/>
        <v>774390</v>
      </c>
      <c r="L28" s="4">
        <f t="shared" si="2"/>
        <v>1.5759493670886076</v>
      </c>
      <c r="M28" t="str">
        <f t="shared" si="3"/>
        <v>Normal/Fast-Moving</v>
      </c>
    </row>
    <row r="29" spans="1:13" ht="15.75" customHeight="1" x14ac:dyDescent="0.3">
      <c r="A29">
        <v>1013</v>
      </c>
      <c r="B29" t="s">
        <v>44</v>
      </c>
      <c r="C29" t="s">
        <v>21</v>
      </c>
      <c r="D29">
        <v>80</v>
      </c>
      <c r="E29">
        <v>312</v>
      </c>
      <c r="F29">
        <v>210</v>
      </c>
      <c r="G29">
        <v>182</v>
      </c>
      <c r="H29">
        <v>3162</v>
      </c>
      <c r="I29" s="2">
        <v>664020</v>
      </c>
      <c r="J29" s="3">
        <f t="shared" si="0"/>
        <v>131</v>
      </c>
      <c r="K29" s="2">
        <f t="shared" si="1"/>
        <v>664020</v>
      </c>
      <c r="L29" s="4">
        <f t="shared" si="2"/>
        <v>1.6030534351145038</v>
      </c>
      <c r="M29" t="str">
        <f t="shared" si="3"/>
        <v>Normal/Fast-Moving</v>
      </c>
    </row>
    <row r="30" spans="1:13" ht="15.75" customHeight="1" x14ac:dyDescent="0.3">
      <c r="A30">
        <v>1022</v>
      </c>
      <c r="B30" t="s">
        <v>45</v>
      </c>
      <c r="C30" t="s">
        <v>23</v>
      </c>
      <c r="D30">
        <v>56</v>
      </c>
      <c r="E30">
        <v>191</v>
      </c>
      <c r="F30">
        <v>162</v>
      </c>
      <c r="G30">
        <v>85</v>
      </c>
      <c r="H30">
        <v>2393</v>
      </c>
      <c r="I30" s="2">
        <v>387666</v>
      </c>
      <c r="J30" s="3">
        <f t="shared" si="0"/>
        <v>70.5</v>
      </c>
      <c r="K30" s="2">
        <f t="shared" si="1"/>
        <v>387666</v>
      </c>
      <c r="L30" s="4">
        <f t="shared" si="2"/>
        <v>2.2978723404255321</v>
      </c>
      <c r="M30" t="str">
        <f t="shared" si="3"/>
        <v>Normal/Fast-Moving</v>
      </c>
    </row>
    <row r="31" spans="1:13" ht="15.75" customHeight="1" x14ac:dyDescent="0.3">
      <c r="A31">
        <v>1024</v>
      </c>
      <c r="B31" t="s">
        <v>46</v>
      </c>
      <c r="C31" t="s">
        <v>23</v>
      </c>
      <c r="D31">
        <v>148</v>
      </c>
      <c r="E31">
        <v>285</v>
      </c>
      <c r="F31">
        <v>262</v>
      </c>
      <c r="G31">
        <v>171</v>
      </c>
      <c r="H31">
        <v>3958</v>
      </c>
      <c r="I31" s="2">
        <v>1036996</v>
      </c>
      <c r="J31" s="3">
        <f t="shared" si="0"/>
        <v>159.5</v>
      </c>
      <c r="K31" s="2">
        <f t="shared" si="1"/>
        <v>1036996</v>
      </c>
      <c r="L31" s="4">
        <f t="shared" si="2"/>
        <v>1.6426332288401253</v>
      </c>
      <c r="M31" t="str">
        <f t="shared" si="3"/>
        <v>Normal/Fast-Moving</v>
      </c>
    </row>
    <row r="32" spans="1:13" ht="15.75" customHeight="1" x14ac:dyDescent="0.3">
      <c r="A32">
        <v>1026</v>
      </c>
      <c r="B32" t="s">
        <v>47</v>
      </c>
      <c r="C32" t="s">
        <v>17</v>
      </c>
      <c r="D32">
        <v>174</v>
      </c>
      <c r="E32">
        <v>329</v>
      </c>
      <c r="F32">
        <v>279</v>
      </c>
      <c r="G32">
        <v>224</v>
      </c>
      <c r="H32">
        <v>4980</v>
      </c>
      <c r="I32" s="2">
        <v>1389420</v>
      </c>
      <c r="J32" s="3">
        <f t="shared" si="0"/>
        <v>199</v>
      </c>
      <c r="K32" s="2">
        <f t="shared" si="1"/>
        <v>1389420</v>
      </c>
      <c r="L32" s="4">
        <f t="shared" si="2"/>
        <v>1.4020100502512562</v>
      </c>
      <c r="M32" t="str">
        <f t="shared" si="3"/>
        <v>Normal/Fast-Moving</v>
      </c>
    </row>
    <row r="33" spans="1:13" ht="15.75" customHeight="1" x14ac:dyDescent="0.3">
      <c r="A33">
        <v>1023</v>
      </c>
      <c r="B33" t="s">
        <v>48</v>
      </c>
      <c r="C33" t="s">
        <v>23</v>
      </c>
      <c r="D33">
        <v>73</v>
      </c>
      <c r="E33">
        <v>138</v>
      </c>
      <c r="F33">
        <v>205</v>
      </c>
      <c r="G33">
        <v>6</v>
      </c>
      <c r="H33">
        <v>2777</v>
      </c>
      <c r="I33" s="2">
        <v>569285</v>
      </c>
      <c r="J33" s="3">
        <f t="shared" si="0"/>
        <v>39.5</v>
      </c>
      <c r="K33" s="2">
        <f t="shared" si="1"/>
        <v>569285</v>
      </c>
      <c r="L33" s="4">
        <f t="shared" si="2"/>
        <v>5.1898734177215191</v>
      </c>
      <c r="M33" t="str">
        <f t="shared" si="3"/>
        <v>Normal/Fast-Moving</v>
      </c>
    </row>
    <row r="34" spans="1:13" ht="15.75" customHeight="1" x14ac:dyDescent="0.3"/>
    <row r="35" spans="1:13" ht="15.75" customHeight="1" x14ac:dyDescent="0.3"/>
    <row r="36" spans="1:13" ht="15.75" customHeight="1" x14ac:dyDescent="0.3"/>
    <row r="37" spans="1:13" ht="15.75" customHeight="1" x14ac:dyDescent="0.3"/>
    <row r="38" spans="1:13" ht="15.75" customHeight="1" x14ac:dyDescent="0.3"/>
    <row r="39" spans="1:13" ht="15.75" customHeight="1" x14ac:dyDescent="0.3"/>
    <row r="40" spans="1:13" ht="15.75" customHeight="1" x14ac:dyDescent="0.3"/>
    <row r="41" spans="1:13" ht="15.75" customHeight="1" x14ac:dyDescent="0.3"/>
    <row r="42" spans="1:13" ht="15.75" customHeight="1" x14ac:dyDescent="0.3"/>
    <row r="43" spans="1:13" ht="15.75" customHeight="1" x14ac:dyDescent="0.3"/>
    <row r="44" spans="1:13" ht="15.75" customHeight="1" x14ac:dyDescent="0.3"/>
    <row r="45" spans="1:13" ht="15.75" customHeight="1" x14ac:dyDescent="0.3"/>
    <row r="46" spans="1:13" ht="15.75" customHeight="1" x14ac:dyDescent="0.3"/>
    <row r="47" spans="1:13" ht="15.75" customHeight="1" x14ac:dyDescent="0.3"/>
    <row r="48" spans="1:1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workbookViewId="0"/>
  </sheetViews>
  <sheetFormatPr defaultColWidth="14.44140625" defaultRowHeight="15" customHeight="1" x14ac:dyDescent="0.3"/>
  <cols>
    <col min="1" max="1" width="11" customWidth="1"/>
    <col min="2" max="2" width="18" customWidth="1"/>
    <col min="3" max="3" width="13" customWidth="1"/>
    <col min="4" max="4" width="18" customWidth="1"/>
    <col min="5" max="5" width="11" customWidth="1"/>
    <col min="6" max="6" width="18" customWidth="1"/>
    <col min="7" max="11" width="8.6640625" customWidth="1"/>
  </cols>
  <sheetData>
    <row r="1" spans="1:6" ht="14.4" x14ac:dyDescent="0.3">
      <c r="A1" s="5" t="s">
        <v>0</v>
      </c>
      <c r="B1" s="5" t="s">
        <v>1</v>
      </c>
      <c r="C1" s="5" t="s">
        <v>2</v>
      </c>
      <c r="D1" s="5" t="s">
        <v>49</v>
      </c>
      <c r="E1" s="5" t="s">
        <v>5</v>
      </c>
      <c r="F1" s="5" t="s">
        <v>50</v>
      </c>
    </row>
    <row r="2" spans="1:6" ht="14.4" x14ac:dyDescent="0.3">
      <c r="A2">
        <v>1005</v>
      </c>
      <c r="B2" t="str">
        <f t="array" ref="B2">INDEX(Data!$B$2:$B$33,MATCH($A2,Data!$A$2:$A$33,0))</f>
        <v>Webcam</v>
      </c>
      <c r="C2" t="str">
        <f t="array" ref="C2">INDEX(Data!$C$2:$C$33,MATCH($A2,Data!$A$2:$A$33,0))</f>
        <v>Electronics</v>
      </c>
      <c r="D2" s="3">
        <f t="array" ref="D2">INDEX(Data!$J$2:$J$33,MATCH($A2,Data!$A$2:$A$33,0))</f>
        <v>461.5</v>
      </c>
      <c r="E2" s="1">
        <f t="array" ref="E2">INDEX(Data!$F$2:$F$33,MATCH($A2,Data!$A$2:$A$33,0))</f>
        <v>11</v>
      </c>
      <c r="F2" s="4">
        <f t="array" ref="F2">INDEX(Data!$L$2:$L$33,MATCH($A2,Data!$A$2:$A$33,0))</f>
        <v>2.3835319609967497E-2</v>
      </c>
    </row>
    <row r="3" spans="1:6" ht="14.4" x14ac:dyDescent="0.3">
      <c r="A3">
        <v>1020</v>
      </c>
      <c r="B3" t="str">
        <f t="array" ref="B3">INDEX(Data!$B$2:$B$33,MATCH($A3,Data!$A$2:$A$33,0))</f>
        <v>Jacket</v>
      </c>
      <c r="C3" t="str">
        <f t="array" ref="C3">INDEX(Data!$C$2:$C$33,MATCH($A3,Data!$A$2:$A$33,0))</f>
        <v>Clothing</v>
      </c>
      <c r="D3" s="3">
        <f t="array" ref="D3">INDEX(Data!$J$2:$J$33,MATCH($A3,Data!$A$2:$A$33,0))</f>
        <v>374.5</v>
      </c>
      <c r="E3" s="1">
        <f t="array" ref="E3">INDEX(Data!$F$2:$F$33,MATCH($A3,Data!$A$2:$A$33,0))</f>
        <v>27</v>
      </c>
      <c r="F3" s="4">
        <f t="array" ref="F3">INDEX(Data!$L$2:$L$33,MATCH($A3,Data!$A$2:$A$33,0))</f>
        <v>7.209612817089453E-2</v>
      </c>
    </row>
    <row r="4" spans="1:6" ht="14.4" x14ac:dyDescent="0.3">
      <c r="A4">
        <v>1010</v>
      </c>
      <c r="B4" t="str">
        <f t="array" ref="B4">INDEX(Data!$B$2:$B$33,MATCH($A4,Data!$A$2:$A$33,0))</f>
        <v>Study Table</v>
      </c>
      <c r="C4" t="str">
        <f t="array" ref="C4">INDEX(Data!$C$2:$C$33,MATCH($A4,Data!$A$2:$A$33,0))</f>
        <v>Furniture</v>
      </c>
      <c r="D4" s="3">
        <f t="array" ref="D4">INDEX(Data!$J$2:$J$33,MATCH($A4,Data!$A$2:$A$33,0))</f>
        <v>191</v>
      </c>
      <c r="E4" s="1">
        <f t="array" ref="E4">INDEX(Data!$F$2:$F$33,MATCH($A4,Data!$A$2:$A$33,0))</f>
        <v>16</v>
      </c>
      <c r="F4" s="4">
        <f t="array" ref="F4">INDEX(Data!$L$2:$L$33,MATCH($A4,Data!$A$2:$A$33,0))</f>
        <v>8.3769633507853408E-2</v>
      </c>
    </row>
    <row r="5" spans="1:6" ht="14.4" x14ac:dyDescent="0.3">
      <c r="A5">
        <v>1025</v>
      </c>
      <c r="B5" t="str">
        <f t="array" ref="B5">INDEX(Data!$B$2:$B$33,MATCH($A5,Data!$A$2:$A$33,0))</f>
        <v>Notebook</v>
      </c>
      <c r="C5" t="str">
        <f t="array" ref="C5">INDEX(Data!$C$2:$C$33,MATCH($A5,Data!$A$2:$A$33,0))</f>
        <v>Stationery</v>
      </c>
      <c r="D5" s="3">
        <f t="array" ref="D5">INDEX(Data!$J$2:$J$33,MATCH($A5,Data!$A$2:$A$33,0))</f>
        <v>186.5</v>
      </c>
      <c r="E5" s="1">
        <f t="array" ref="E5">INDEX(Data!$F$2:$F$33,MATCH($A5,Data!$A$2:$A$33,0))</f>
        <v>18</v>
      </c>
      <c r="F5" s="4">
        <f t="array" ref="F5">INDEX(Data!$L$2:$L$33,MATCH($A5,Data!$A$2:$A$33,0))</f>
        <v>9.6514745308310987E-2</v>
      </c>
    </row>
    <row r="6" spans="1:6" ht="14.4" x14ac:dyDescent="0.3">
      <c r="A6">
        <v>1030</v>
      </c>
      <c r="B6" t="str">
        <f t="array" ref="B6">INDEX(Data!$B$2:$B$33,MATCH($A6,Data!$A$2:$A$33,0))</f>
        <v>File Folder</v>
      </c>
      <c r="C6" t="str">
        <f t="array" ref="C6">INDEX(Data!$C$2:$C$33,MATCH($A6,Data!$A$2:$A$33,0))</f>
        <v>Stationery</v>
      </c>
      <c r="D6" s="3">
        <f t="array" ref="D6">INDEX(Data!$J$2:$J$33,MATCH($A6,Data!$A$2:$A$33,0))</f>
        <v>168.5</v>
      </c>
      <c r="E6" s="1">
        <f t="array" ref="E6">INDEX(Data!$F$2:$F$33,MATCH($A6,Data!$A$2:$A$33,0))</f>
        <v>34</v>
      </c>
      <c r="F6" s="4">
        <f t="array" ref="F6">INDEX(Data!$L$2:$L$33,MATCH($A6,Data!$A$2:$A$33,0))</f>
        <v>0.20178041543026706</v>
      </c>
    </row>
    <row r="7" spans="1:6" ht="14.4" x14ac:dyDescent="0.3">
      <c r="A7">
        <v>1031</v>
      </c>
      <c r="B7" t="str">
        <f t="array" ref="B7">INDEX(Data!$B$2:$B$33,MATCH($A7,Data!$A$2:$A$33,0))</f>
        <v>Sticky Notes</v>
      </c>
      <c r="C7" t="str">
        <f t="array" ref="C7">INDEX(Data!$C$2:$C$33,MATCH($A7,Data!$A$2:$A$33,0))</f>
        <v>Stationery</v>
      </c>
      <c r="D7" s="3">
        <f t="array" ref="D7">INDEX(Data!$J$2:$J$33,MATCH($A7,Data!$A$2:$A$33,0))</f>
        <v>292</v>
      </c>
      <c r="E7" s="1">
        <f t="array" ref="E7">INDEX(Data!$F$2:$F$33,MATCH($A7,Data!$A$2:$A$33,0))</f>
        <v>65</v>
      </c>
      <c r="F7" s="4">
        <f t="array" ref="F7">INDEX(Data!$L$2:$L$33,MATCH($A7,Data!$A$2:$A$33,0))</f>
        <v>0.2226027397260274</v>
      </c>
    </row>
    <row r="8" spans="1:6" ht="14.4" x14ac:dyDescent="0.3">
      <c r="A8">
        <v>1028</v>
      </c>
      <c r="B8" t="str">
        <f t="array" ref="B8">INDEX(Data!$B$2:$B$33,MATCH($A8,Data!$A$2:$A$33,0))</f>
        <v>Stapler</v>
      </c>
      <c r="C8" t="str">
        <f t="array" ref="C8">INDEX(Data!$C$2:$C$33,MATCH($A8,Data!$A$2:$A$33,0))</f>
        <v>Stationery</v>
      </c>
      <c r="D8" s="3">
        <f t="array" ref="D8">INDEX(Data!$J$2:$J$33,MATCH($A8,Data!$A$2:$A$33,0))</f>
        <v>388</v>
      </c>
      <c r="E8" s="1">
        <f t="array" ref="E8">INDEX(Data!$F$2:$F$33,MATCH($A8,Data!$A$2:$A$33,0))</f>
        <v>106</v>
      </c>
      <c r="F8" s="4">
        <f t="array" ref="F8">INDEX(Data!$L$2:$L$33,MATCH($A8,Data!$A$2:$A$33,0))</f>
        <v>0.27319587628865977</v>
      </c>
    </row>
    <row r="9" spans="1:6" ht="14.4" x14ac:dyDescent="0.3">
      <c r="A9">
        <v>1015</v>
      </c>
      <c r="B9" t="str">
        <f t="array" ref="B9">INDEX(Data!$B$2:$B$33,MATCH($A9,Data!$A$2:$A$33,0))</f>
        <v>Office Sofa</v>
      </c>
      <c r="C9" t="str">
        <f t="array" ref="C9">INDEX(Data!$C$2:$C$33,MATCH($A9,Data!$A$2:$A$33,0))</f>
        <v>Furniture</v>
      </c>
      <c r="D9" s="3">
        <f t="array" ref="D9">INDEX(Data!$J$2:$J$33,MATCH($A9,Data!$A$2:$A$33,0))</f>
        <v>191</v>
      </c>
      <c r="E9" s="1">
        <f t="array" ref="E9">INDEX(Data!$F$2:$F$33,MATCH($A9,Data!$A$2:$A$33,0))</f>
        <v>64</v>
      </c>
      <c r="F9" s="4">
        <f t="array" ref="F9">INDEX(Data!$L$2:$L$33,MATCH($A9,Data!$A$2:$A$33,0))</f>
        <v>0.33507853403141363</v>
      </c>
    </row>
    <row r="10" spans="1:6" ht="14.4" x14ac:dyDescent="0.3">
      <c r="A10">
        <v>1012</v>
      </c>
      <c r="B10" t="str">
        <f t="array" ref="B10">INDEX(Data!$B$2:$B$33,MATCH($A10,Data!$A$2:$A$33,0))</f>
        <v>Filing Cabinet</v>
      </c>
      <c r="C10" t="str">
        <f t="array" ref="C10">INDEX(Data!$C$2:$C$33,MATCH($A10,Data!$A$2:$A$33,0))</f>
        <v>Furniture</v>
      </c>
      <c r="D10" s="3">
        <f t="array" ref="D10">INDEX(Data!$J$2:$J$33,MATCH($A10,Data!$A$2:$A$33,0))</f>
        <v>365.5</v>
      </c>
      <c r="E10" s="1">
        <f t="array" ref="E10">INDEX(Data!$F$2:$F$33,MATCH($A10,Data!$A$2:$A$33,0))</f>
        <v>123</v>
      </c>
      <c r="F10" s="4">
        <f t="array" ref="F10">INDEX(Data!$L$2:$L$33,MATCH($A10,Data!$A$2:$A$33,0))</f>
        <v>0.33652530779753764</v>
      </c>
    </row>
    <row r="11" spans="1:6" ht="14.4" x14ac:dyDescent="0.3">
      <c r="A11">
        <v>1021</v>
      </c>
      <c r="B11" t="str">
        <f t="array" ref="B11">INDEX(Data!$B$2:$B$33,MATCH($A11,Data!$A$2:$A$33,0))</f>
        <v>Sweatshirt</v>
      </c>
      <c r="C11" t="str">
        <f t="array" ref="C11">INDEX(Data!$C$2:$C$33,MATCH($A11,Data!$A$2:$A$33,0))</f>
        <v>Clothing</v>
      </c>
      <c r="D11" s="3">
        <f t="array" ref="D11">INDEX(Data!$J$2:$J$33,MATCH($A11,Data!$A$2:$A$33,0))</f>
        <v>206</v>
      </c>
      <c r="E11" s="1">
        <f t="array" ref="E11">INDEX(Data!$F$2:$F$33,MATCH($A11,Data!$A$2:$A$33,0))</f>
        <v>88</v>
      </c>
      <c r="F11" s="4">
        <f t="array" ref="F11">INDEX(Data!$L$2:$L$33,MATCH($A11,Data!$A$2:$A$33,0))</f>
        <v>0.42718446601941745</v>
      </c>
    </row>
    <row r="12" spans="1:6" ht="14.4" x14ac:dyDescent="0.3">
      <c r="A12">
        <v>1014</v>
      </c>
      <c r="B12" t="str">
        <f t="array" ref="B12">INDEX(Data!$B$2:$B$33,MATCH($A12,Data!$A$2:$A$33,0))</f>
        <v>Conference Table</v>
      </c>
      <c r="C12" t="str">
        <f t="array" ref="C12">INDEX(Data!$C$2:$C$33,MATCH($A12,Data!$A$2:$A$33,0))</f>
        <v>Furniture</v>
      </c>
      <c r="D12" s="3">
        <f t="array" ref="D12">INDEX(Data!$J$2:$J$33,MATCH($A12,Data!$A$2:$A$33,0))</f>
        <v>135</v>
      </c>
      <c r="E12" s="1">
        <f t="array" ref="E12">INDEX(Data!$F$2:$F$33,MATCH($A12,Data!$A$2:$A$33,0))</f>
        <v>71</v>
      </c>
      <c r="F12" s="4">
        <f t="array" ref="F12">INDEX(Data!$L$2:$L$33,MATCH($A12,Data!$A$2:$A$33,0))</f>
        <v>0.52592592592592591</v>
      </c>
    </row>
    <row r="13" spans="1:6" ht="14.4" x14ac:dyDescent="0.3">
      <c r="A13">
        <v>1032</v>
      </c>
      <c r="B13" t="str">
        <f t="array" ref="B13">INDEX(Data!$B$2:$B$33,MATCH($A13,Data!$A$2:$A$33,0))</f>
        <v>Calculator</v>
      </c>
      <c r="C13" t="str">
        <f t="array" ref="C13">INDEX(Data!$C$2:$C$33,MATCH($A13,Data!$A$2:$A$33,0))</f>
        <v>Stationery</v>
      </c>
      <c r="D13" s="3">
        <f t="array" ref="D13">INDEX(Data!$J$2:$J$33,MATCH($A13,Data!$A$2:$A$33,0))</f>
        <v>219.5</v>
      </c>
      <c r="E13" s="1">
        <f t="array" ref="E13">INDEX(Data!$F$2:$F$33,MATCH($A13,Data!$A$2:$A$33,0))</f>
        <v>117</v>
      </c>
      <c r="F13" s="4">
        <f t="array" ref="F13">INDEX(Data!$L$2:$L$33,MATCH($A13,Data!$A$2:$A$33,0))</f>
        <v>0.53302961275626426</v>
      </c>
    </row>
    <row r="14" spans="1:6" ht="14.4" x14ac:dyDescent="0.3">
      <c r="A14">
        <v>1007</v>
      </c>
      <c r="B14" t="str">
        <f t="array" ref="B14">INDEX(Data!$B$2:$B$33,MATCH($A14,Data!$A$2:$A$33,0))</f>
        <v>Power Bank</v>
      </c>
      <c r="C14" t="str">
        <f t="array" ref="C14">INDEX(Data!$C$2:$C$33,MATCH($A14,Data!$A$2:$A$33,0))</f>
        <v>Electronics</v>
      </c>
      <c r="D14" s="3">
        <f t="array" ref="D14">INDEX(Data!$J$2:$J$33,MATCH($A14,Data!$A$2:$A$33,0))</f>
        <v>333.5</v>
      </c>
      <c r="E14" s="1">
        <f t="array" ref="E14">INDEX(Data!$F$2:$F$33,MATCH($A14,Data!$A$2:$A$33,0))</f>
        <v>202</v>
      </c>
      <c r="F14" s="4">
        <f t="array" ref="F14">INDEX(Data!$L$2:$L$33,MATCH($A14,Data!$A$2:$A$33,0))</f>
        <v>0.60569715142428782</v>
      </c>
    </row>
    <row r="15" spans="1:6" ht="14.4" x14ac:dyDescent="0.3">
      <c r="A15">
        <v>1027</v>
      </c>
      <c r="B15" t="str">
        <f t="array" ref="B15">INDEX(Data!$B$2:$B$33,MATCH($A15,Data!$A$2:$A$33,0))</f>
        <v>Marker Set</v>
      </c>
      <c r="C15" t="str">
        <f t="array" ref="C15">INDEX(Data!$C$2:$C$33,MATCH($A15,Data!$A$2:$A$33,0))</f>
        <v>Stationery</v>
      </c>
      <c r="D15" s="3">
        <f t="array" ref="D15">INDEX(Data!$J$2:$J$33,MATCH($A15,Data!$A$2:$A$33,0))</f>
        <v>265.5</v>
      </c>
      <c r="E15" s="1">
        <f t="array" ref="E15">INDEX(Data!$F$2:$F$33,MATCH($A15,Data!$A$2:$A$33,0))</f>
        <v>172</v>
      </c>
      <c r="F15" s="4">
        <f t="array" ref="F15">INDEX(Data!$L$2:$L$33,MATCH($A15,Data!$A$2:$A$33,0))</f>
        <v>0.64783427495291901</v>
      </c>
    </row>
    <row r="16" spans="1:6" ht="14.4" x14ac:dyDescent="0.3">
      <c r="A16">
        <v>1011</v>
      </c>
      <c r="B16" t="str">
        <f t="array" ref="B16">INDEX(Data!$B$2:$B$33,MATCH($A16,Data!$A$2:$A$33,0))</f>
        <v>Bookshelf</v>
      </c>
      <c r="C16" t="str">
        <f t="array" ref="C16">INDEX(Data!$C$2:$C$33,MATCH($A16,Data!$A$2:$A$33,0))</f>
        <v>Furniture</v>
      </c>
      <c r="D16" s="3">
        <f t="array" ref="D16">INDEX(Data!$J$2:$J$33,MATCH($A16,Data!$A$2:$A$33,0))</f>
        <v>288</v>
      </c>
      <c r="E16" s="1">
        <f t="array" ref="E16">INDEX(Data!$F$2:$F$33,MATCH($A16,Data!$A$2:$A$33,0))</f>
        <v>195</v>
      </c>
      <c r="F16" s="4">
        <f t="array" ref="F16">INDEX(Data!$L$2:$L$33,MATCH($A16,Data!$A$2:$A$33,0))</f>
        <v>0.67708333333333337</v>
      </c>
    </row>
    <row r="17" spans="1:6" ht="14.4" x14ac:dyDescent="0.3">
      <c r="A17">
        <v>1016</v>
      </c>
      <c r="B17" t="str">
        <f t="array" ref="B17">INDEX(Data!$B$2:$B$33,MATCH($A17,Data!$A$2:$A$33,0))</f>
        <v>Storage Rack</v>
      </c>
      <c r="C17" t="str">
        <f t="array" ref="C17">INDEX(Data!$C$2:$C$33,MATCH($A17,Data!$A$2:$A$33,0))</f>
        <v>Furniture</v>
      </c>
      <c r="D17" s="3">
        <f t="array" ref="D17">INDEX(Data!$J$2:$J$33,MATCH($A17,Data!$A$2:$A$33,0))</f>
        <v>137.5</v>
      </c>
      <c r="E17" s="1">
        <f t="array" ref="E17">INDEX(Data!$F$2:$F$33,MATCH($A17,Data!$A$2:$A$33,0))</f>
        <v>131</v>
      </c>
      <c r="F17" s="4">
        <f t="array" ref="F17">INDEX(Data!$L$2:$L$33,MATCH($A17,Data!$A$2:$A$33,0))</f>
        <v>0.95272727272727276</v>
      </c>
    </row>
    <row r="18" spans="1:6" ht="14.4" x14ac:dyDescent="0.3">
      <c r="A18">
        <v>1019</v>
      </c>
      <c r="B18" t="str">
        <f t="array" ref="B18">INDEX(Data!$B$2:$B$33,MATCH($A18,Data!$A$2:$A$33,0))</f>
        <v>Formal Shirt</v>
      </c>
      <c r="C18" t="str">
        <f t="array" ref="C18">INDEX(Data!$C$2:$C$33,MATCH($A18,Data!$A$2:$A$33,0))</f>
        <v>Clothing</v>
      </c>
      <c r="D18" s="3">
        <f t="array" ref="D18">INDEX(Data!$J$2:$J$33,MATCH($A18,Data!$A$2:$A$33,0))</f>
        <v>186</v>
      </c>
      <c r="E18" s="1">
        <f t="array" ref="E18">INDEX(Data!$F$2:$F$33,MATCH($A18,Data!$A$2:$A$33,0))</f>
        <v>185</v>
      </c>
      <c r="F18" s="4">
        <f t="array" ref="F18">INDEX(Data!$L$2:$L$33,MATCH($A18,Data!$A$2:$A$33,0))</f>
        <v>0.9946236559139785</v>
      </c>
    </row>
    <row r="19" spans="1:6" ht="14.4" x14ac:dyDescent="0.3">
      <c r="A19">
        <v>1029</v>
      </c>
      <c r="B19" t="str">
        <f t="array" ref="B19">INDEX(Data!$B$2:$B$33,MATCH($A19,Data!$A$2:$A$33,0))</f>
        <v>Printer Paper</v>
      </c>
      <c r="C19" t="str">
        <f t="array" ref="C19">INDEX(Data!$C$2:$C$33,MATCH($A19,Data!$A$2:$A$33,0))</f>
        <v>Stationery</v>
      </c>
      <c r="D19" s="3">
        <f t="array" ref="D19">INDEX(Data!$J$2:$J$33,MATCH($A19,Data!$A$2:$A$33,0))</f>
        <v>100</v>
      </c>
      <c r="E19" s="1">
        <f t="array" ref="E19">INDEX(Data!$F$2:$F$33,MATCH($A19,Data!$A$2:$A$33,0))</f>
        <v>100</v>
      </c>
      <c r="F19" s="4">
        <f t="array" ref="F19">INDEX(Data!$L$2:$L$33,MATCH($A19,Data!$A$2:$A$33,0))</f>
        <v>1</v>
      </c>
    </row>
    <row r="21" spans="1:6" ht="15.75" customHeight="1" x14ac:dyDescent="0.3"/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tabSelected="1" workbookViewId="0">
      <selection activeCell="I4" sqref="I4"/>
    </sheetView>
  </sheetViews>
  <sheetFormatPr defaultColWidth="14.44140625" defaultRowHeight="15" customHeight="1" x14ac:dyDescent="0.3"/>
  <cols>
    <col min="1" max="1" width="14" customWidth="1"/>
    <col min="2" max="2" width="10" customWidth="1"/>
    <col min="3" max="3" width="14" customWidth="1"/>
    <col min="4" max="4" width="24" customWidth="1"/>
    <col min="5" max="5" width="14" customWidth="1"/>
    <col min="6" max="6" width="22" customWidth="1"/>
    <col min="7" max="11" width="8.6640625" customWidth="1"/>
  </cols>
  <sheetData>
    <row r="1" spans="1:6" ht="14.4" x14ac:dyDescent="0.3">
      <c r="A1" s="5" t="s">
        <v>2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</row>
    <row r="2" spans="1:6" ht="14.4" x14ac:dyDescent="0.3">
      <c r="A2" t="s">
        <v>23</v>
      </c>
      <c r="B2">
        <f>COUNTIF(Data!$C$2:$C$33,A2)</f>
        <v>8</v>
      </c>
      <c r="C2" s="2">
        <f>SUMIF(Data!$C$2:$C$33,A2,Data!$I$2:$I$33)</f>
        <v>3551505</v>
      </c>
      <c r="D2" s="6">
        <f>SUMIF(Data!$C$2:$C$33,A2,Data!$J$2:$J$33)</f>
        <v>1304.5</v>
      </c>
      <c r="E2" s="4">
        <f>AVERAGEIF(Data!$C$2:$C$33,A2,Data!$L$2:$L$33)</f>
        <v>1.7953910664727353</v>
      </c>
      <c r="F2" s="1">
        <f>COUNTIFS(Data!$C$2:$C$33,A2,Data!$M$2:$M$33,"Slow-Moving")</f>
        <v>3</v>
      </c>
    </row>
    <row r="3" spans="1:6" ht="14.4" x14ac:dyDescent="0.3">
      <c r="A3" t="s">
        <v>14</v>
      </c>
      <c r="B3">
        <f>COUNTIF(Data!$C$2:$C$33,A3)</f>
        <v>8</v>
      </c>
      <c r="C3" s="2">
        <f>SUMIF(Data!$C$2:$C$33,A3,Data!$I$2:$I$33)</f>
        <v>2009964</v>
      </c>
      <c r="D3" s="6">
        <f>SUMIF(Data!$C$2:$C$33,A3,Data!$J$2:$J$33)</f>
        <v>1393.5</v>
      </c>
      <c r="E3" s="4">
        <f>AVERAGEIF(Data!$C$2:$C$33,A3,Data!$L$2:$L$33)</f>
        <v>1.6041634458845475</v>
      </c>
      <c r="F3" s="1">
        <f>COUNTIFS(Data!$C$2:$C$33,A3,Data!$M$2:$M$33,"Slow-Moving")</f>
        <v>2</v>
      </c>
    </row>
    <row r="4" spans="1:6" ht="14.4" x14ac:dyDescent="0.3">
      <c r="A4" t="s">
        <v>21</v>
      </c>
      <c r="B4">
        <f>COUNTIF(Data!$C$2:$C$33,A4)</f>
        <v>8</v>
      </c>
      <c r="C4" s="2">
        <f>SUMIF(Data!$C$2:$C$33,A4,Data!$I$2:$I$33)</f>
        <v>2174055</v>
      </c>
      <c r="D4" s="6">
        <f>SUMIF(Data!$C$2:$C$33,A4,Data!$J$2:$J$33)</f>
        <v>1555</v>
      </c>
      <c r="E4" s="4">
        <f>AVERAGEIF(Data!$C$2:$C$33,A4,Data!$L$2:$L$33)</f>
        <v>0.72159801651162658</v>
      </c>
      <c r="F4" s="1">
        <f>COUNTIFS(Data!$C$2:$C$33,A4,Data!$M$2:$M$33,"Slow-Moving")</f>
        <v>6</v>
      </c>
    </row>
    <row r="5" spans="1:6" ht="14.4" x14ac:dyDescent="0.3">
      <c r="A5" t="s">
        <v>17</v>
      </c>
      <c r="B5">
        <f>COUNTIF(Data!$C$2:$C$33,A5)</f>
        <v>8</v>
      </c>
      <c r="C5" s="2">
        <f>SUMIF(Data!$C$2:$C$33,A5,Data!$I$2:$I$33)</f>
        <v>2602260</v>
      </c>
      <c r="D5" s="6">
        <f>SUMIF(Data!$C$2:$C$33,A5,Data!$J$2:$J$33)</f>
        <v>1819</v>
      </c>
      <c r="E5" s="4">
        <f>AVERAGEIF(Data!$C$2:$C$33,A5,Data!$L$2:$L$33)</f>
        <v>0.54712096433921309</v>
      </c>
      <c r="F5" s="1">
        <f>COUNTIFS(Data!$C$2:$C$33,A5,Data!$M$2:$M$33,"Slow-Moving")</f>
        <v>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Slow Movers</vt:lpstr>
      <vt:lpstr>Category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Sania Nautiyal</cp:lastModifiedBy>
  <cp:revision>0</cp:revision>
  <dcterms:created xsi:type="dcterms:W3CDTF">2026-10-05T13:27:18Z</dcterms:created>
  <dcterms:modified xsi:type="dcterms:W3CDTF">2026-10-05T14:57:27Z</dcterms:modified>
  <dc:language>en-US</dc:language>
</cp:coreProperties>
</file>